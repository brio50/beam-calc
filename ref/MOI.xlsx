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o/Desktop/"/>
    </mc:Choice>
  </mc:AlternateContent>
  <xr:revisionPtr revIDLastSave="0" documentId="13_ncr:1_{3C3B5145-87E5-DE4A-8927-0576A35064B1}" xr6:coauthVersionLast="36" xr6:coauthVersionMax="36" xr10:uidLastSave="{00000000-0000-0000-0000-000000000000}"/>
  <bookViews>
    <workbookView xWindow="0" yWindow="0" windowWidth="27320" windowHeight="15360" xr2:uid="{11A4E079-42F1-D443-8871-095D0C20343E}"/>
  </bookViews>
  <sheets>
    <sheet name="Sheet1" sheetId="1" r:id="rId1"/>
    <sheet name="Sheet2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E4" i="1"/>
  <c r="E5" i="1"/>
  <c r="E6" i="1"/>
  <c r="B12" i="1"/>
  <c r="C12" i="1"/>
  <c r="D12" i="1" s="1"/>
  <c r="G12" i="1"/>
  <c r="B13" i="1"/>
  <c r="C13" i="1"/>
  <c r="D13" i="1" s="1"/>
  <c r="E13" i="1"/>
  <c r="B14" i="1"/>
  <c r="C14" i="1"/>
  <c r="D14" i="1" s="1"/>
  <c r="E14" i="1"/>
  <c r="G14" i="1"/>
  <c r="B15" i="1"/>
  <c r="C15" i="1"/>
  <c r="D15" i="1" s="1"/>
  <c r="E15" i="1"/>
  <c r="G15" i="1"/>
  <c r="B16" i="1"/>
  <c r="C16" i="1"/>
  <c r="D16" i="1" s="1"/>
  <c r="E16" i="1"/>
  <c r="G16" i="1"/>
  <c r="B17" i="1"/>
  <c r="C17" i="1"/>
  <c r="D17" i="1" s="1"/>
  <c r="E17" i="1"/>
  <c r="C6" i="1"/>
  <c r="B6" i="1"/>
  <c r="G6" i="1" s="1"/>
  <c r="C4" i="1"/>
  <c r="B5" i="1"/>
  <c r="B4" i="1"/>
  <c r="G3" i="2"/>
  <c r="I6" i="2"/>
  <c r="I5" i="2"/>
  <c r="H6" i="2"/>
  <c r="H5" i="2"/>
  <c r="G6" i="2"/>
  <c r="G5" i="2"/>
  <c r="C3" i="2"/>
  <c r="E6" i="2"/>
  <c r="D6" i="2"/>
  <c r="F5" i="2"/>
  <c r="E5" i="2"/>
  <c r="D5" i="2"/>
  <c r="G17" i="1" l="1"/>
  <c r="F17" i="1"/>
  <c r="F16" i="1"/>
  <c r="F15" i="1"/>
  <c r="F14" i="1"/>
  <c r="F13" i="1"/>
  <c r="G13" i="1"/>
  <c r="E12" i="1"/>
  <c r="F6" i="1"/>
  <c r="D6" i="1"/>
  <c r="D4" i="1"/>
  <c r="G4" i="1"/>
  <c r="F6" i="2"/>
  <c r="S8" i="1"/>
  <c r="F12" i="1" l="1"/>
  <c r="C10" i="1" s="1"/>
  <c r="C5" i="1"/>
  <c r="F4" i="1"/>
  <c r="C2" i="1" l="1"/>
  <c r="G5" i="1"/>
  <c r="D5" i="1"/>
  <c r="F5" i="1" s="1"/>
  <c r="H4" i="1" l="1"/>
  <c r="I4" i="1" s="1"/>
  <c r="H13" i="1"/>
  <c r="I13" i="1" s="1"/>
  <c r="H14" i="1"/>
  <c r="I14" i="1" s="1"/>
  <c r="H17" i="1"/>
  <c r="I17" i="1" s="1"/>
  <c r="H15" i="1"/>
  <c r="I15" i="1" s="1"/>
  <c r="H16" i="1"/>
  <c r="I16" i="1" s="1"/>
  <c r="H12" i="1"/>
  <c r="I12" i="1" s="1"/>
  <c r="G10" i="1" s="1"/>
  <c r="H5" i="1"/>
  <c r="I5" i="1" s="1"/>
  <c r="H6" i="1"/>
  <c r="I6" i="1" s="1"/>
  <c r="G2" i="1" l="1"/>
</calcChain>
</file>

<file path=xl/sharedStrings.xml><?xml version="1.0" encoding="utf-8"?>
<sst xmlns="http://schemas.openxmlformats.org/spreadsheetml/2006/main" count="60" uniqueCount="25">
  <si>
    <t>A1</t>
  </si>
  <si>
    <t>A2</t>
  </si>
  <si>
    <t>A3</t>
  </si>
  <si>
    <t>B1</t>
  </si>
  <si>
    <t>B2</t>
  </si>
  <si>
    <t>B3</t>
  </si>
  <si>
    <t>N.A.</t>
  </si>
  <si>
    <t>Y1</t>
  </si>
  <si>
    <t>Y2</t>
  </si>
  <si>
    <t>Ai</t>
  </si>
  <si>
    <t>yi</t>
  </si>
  <si>
    <t>yi*Ai</t>
  </si>
  <si>
    <t>Ii</t>
  </si>
  <si>
    <t>di=yi-ybar</t>
  </si>
  <si>
    <t>di^2*Ai</t>
  </si>
  <si>
    <t>b</t>
  </si>
  <si>
    <t>h</t>
  </si>
  <si>
    <t>Body</t>
  </si>
  <si>
    <t xml:space="preserve">Centroid = </t>
  </si>
  <si>
    <t>in</t>
  </si>
  <si>
    <t>Moment of Inertia =</t>
  </si>
  <si>
    <t>in4</t>
  </si>
  <si>
    <t>I-Beam</t>
  </si>
  <si>
    <t>I-Beam + C Channel</t>
  </si>
  <si>
    <t>H3b/12 + 2[h3B/12 + hB(H+h)2/4]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</si>
</sst>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4"/>
      <color theme="1"/>
      <name val="Cambria Math"/>
      <family val="1"/>
    </font>
    <font>
      <b/>
      <sz val="12"/>
      <color theme="1"/>
      <name val="Cambria Math"/>
      <family val="1"/>
    </font>
    <font>
      <sz val="12"/>
      <color theme="1"/>
      <name val="Cambria Math"/>
      <family val="1"/>
    </font>
    <font>
      <b/>
      <sz val="14"/>
      <color theme="1"/>
      <name val="Cambria Math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C00000"/>
      </bottom>
      <diagonal/>
    </border>
    <border>
      <left/>
      <right style="thin">
        <color indexed="64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/>
      <bottom style="thin">
        <color rgb="FFC00000"/>
      </bottom>
      <diagonal/>
    </border>
    <border>
      <left/>
      <right/>
      <top style="thin">
        <color indexed="64"/>
      </top>
      <bottom style="dashed">
        <color theme="1"/>
      </bottom>
      <diagonal/>
    </border>
    <border>
      <left style="thin">
        <color indexed="64"/>
      </left>
      <right style="thin">
        <color indexed="64"/>
      </right>
      <top/>
      <bottom style="dashed">
        <color theme="1"/>
      </bottom>
      <diagonal/>
    </border>
    <border>
      <left style="thin">
        <color indexed="64"/>
      </left>
      <right/>
      <top style="thin">
        <color indexed="64"/>
      </top>
      <bottom style="dashed">
        <color theme="1"/>
      </bottom>
      <diagonal/>
    </border>
    <border>
      <left/>
      <right style="thin">
        <color indexed="64"/>
      </right>
      <top style="thin">
        <color indexed="64"/>
      </top>
      <bottom style="dashed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/>
      <bottom style="thin">
        <color rgb="FFC0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dotted">
        <color theme="1"/>
      </bottom>
      <diagonal/>
    </border>
    <border>
      <left style="thin">
        <color indexed="64"/>
      </left>
      <right/>
      <top style="thin">
        <color indexed="64"/>
      </top>
      <bottom style="dotted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dashDot">
        <color theme="1"/>
      </bottom>
      <diagonal/>
    </border>
    <border>
      <left/>
      <right style="thin">
        <color indexed="64"/>
      </right>
      <top/>
      <bottom style="dashDot">
        <color theme="1"/>
      </bottom>
      <diagonal/>
    </border>
    <border>
      <left style="thin">
        <color indexed="64"/>
      </left>
      <right style="thin">
        <color indexed="64"/>
      </right>
      <top/>
      <bottom style="dashDot">
        <color theme="1"/>
      </bottom>
      <diagonal/>
    </border>
    <border>
      <left style="thin">
        <color indexed="64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4" borderId="9" xfId="0" applyFont="1" applyFill="1" applyBorder="1"/>
    <xf numFmtId="0" fontId="3" fillId="4" borderId="2" xfId="0" applyFont="1" applyFill="1" applyBorder="1"/>
    <xf numFmtId="0" fontId="3" fillId="4" borderId="7" xfId="0" applyFont="1" applyFill="1" applyBorder="1"/>
    <xf numFmtId="0" fontId="3" fillId="4" borderId="10" xfId="0" applyFont="1" applyFill="1" applyBorder="1"/>
    <xf numFmtId="0" fontId="3" fillId="4" borderId="1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  <xf numFmtId="0" fontId="3" fillId="2" borderId="9" xfId="0" applyFont="1" applyFill="1" applyBorder="1"/>
    <xf numFmtId="0" fontId="3" fillId="2" borderId="2" xfId="0" applyFont="1" applyFill="1" applyBorder="1"/>
    <xf numFmtId="0" fontId="3" fillId="3" borderId="4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3" fillId="3" borderId="16" xfId="0" applyFont="1" applyFill="1" applyBorder="1"/>
    <xf numFmtId="0" fontId="3" fillId="3" borderId="17" xfId="0" applyFont="1" applyFill="1" applyBorder="1"/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4" borderId="18" xfId="0" applyFill="1" applyBorder="1"/>
    <xf numFmtId="0" fontId="0" fillId="4" borderId="19" xfId="0" applyFill="1" applyBorder="1"/>
    <xf numFmtId="0" fontId="0" fillId="4" borderId="19" xfId="0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3" fillId="4" borderId="21" xfId="0" applyFont="1" applyFill="1" applyBorder="1"/>
    <xf numFmtId="0" fontId="3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/>
    <xf numFmtId="0" fontId="3" fillId="4" borderId="23" xfId="0" applyFont="1" applyFill="1" applyBorder="1"/>
    <xf numFmtId="164" fontId="4" fillId="4" borderId="0" xfId="0" applyNumberFormat="1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3" fillId="4" borderId="25" xfId="0" applyFont="1" applyFill="1" applyBorder="1"/>
    <xf numFmtId="0" fontId="3" fillId="4" borderId="26" xfId="0" applyFont="1" applyFill="1" applyBorder="1"/>
    <xf numFmtId="0" fontId="3" fillId="4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3" fillId="4" borderId="28" xfId="0" applyFont="1" applyFill="1" applyBorder="1"/>
    <xf numFmtId="0" fontId="4" fillId="4" borderId="29" xfId="0" applyFont="1" applyFill="1" applyBorder="1" applyAlignment="1">
      <alignment horizontal="center"/>
    </xf>
    <xf numFmtId="0" fontId="3" fillId="4" borderId="30" xfId="0" applyFont="1" applyFill="1" applyBorder="1"/>
    <xf numFmtId="0" fontId="3" fillId="4" borderId="31" xfId="0" applyFont="1" applyFill="1" applyBorder="1"/>
    <xf numFmtId="0" fontId="3" fillId="4" borderId="32" xfId="0" applyFont="1" applyFill="1" applyBorder="1"/>
    <xf numFmtId="0" fontId="3" fillId="4" borderId="33" xfId="0" applyFont="1" applyFill="1" applyBorder="1"/>
    <xf numFmtId="0" fontId="3" fillId="4" borderId="34" xfId="0" applyFont="1" applyFill="1" applyBorder="1" applyAlignment="1">
      <alignment horizontal="left"/>
    </xf>
    <xf numFmtId="0" fontId="3" fillId="4" borderId="34" xfId="0" applyFont="1" applyFill="1" applyBorder="1" applyAlignment="1">
      <alignment horizontal="left" vertical="top"/>
    </xf>
    <xf numFmtId="0" fontId="1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left" vertical="center"/>
    </xf>
    <xf numFmtId="0" fontId="3" fillId="4" borderId="35" xfId="0" applyFont="1" applyFill="1" applyBorder="1"/>
    <xf numFmtId="0" fontId="3" fillId="4" borderId="36" xfId="0" applyFont="1" applyFill="1" applyBorder="1"/>
    <xf numFmtId="0" fontId="3" fillId="2" borderId="37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/>
    </xf>
    <xf numFmtId="0" fontId="4" fillId="4" borderId="21" xfId="0" applyFont="1" applyFill="1" applyBorder="1"/>
    <xf numFmtId="0" fontId="6" fillId="2" borderId="1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4" borderId="39" xfId="0" applyFont="1" applyFill="1" applyBorder="1"/>
    <xf numFmtId="0" fontId="6" fillId="3" borderId="38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/>
    <xf numFmtId="0" fontId="8" fillId="5" borderId="0" xfId="0" applyFont="1" applyFill="1"/>
    <xf numFmtId="0" fontId="9" fillId="0" borderId="0" xfId="0" applyFont="1"/>
    <xf numFmtId="0" fontId="10" fillId="0" borderId="0" xfId="0" applyFont="1"/>
    <xf numFmtId="0" fontId="10" fillId="5" borderId="0" xfId="0" applyFont="1" applyFill="1"/>
    <xf numFmtId="0" fontId="0" fillId="4" borderId="0" xfId="0" applyFill="1"/>
    <xf numFmtId="0" fontId="10" fillId="0" borderId="40" xfId="0" applyFont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5" borderId="0" xfId="0" applyFont="1" applyFill="1"/>
    <xf numFmtId="0" fontId="8" fillId="0" borderId="40" xfId="0" applyFont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9" fillId="3" borderId="0" xfId="0" applyFont="1" applyFill="1"/>
    <xf numFmtId="165" fontId="9" fillId="2" borderId="0" xfId="0" applyNumberFormat="1" applyFont="1" applyFill="1" applyAlignment="1">
      <alignment horizontal="left"/>
    </xf>
    <xf numFmtId="165" fontId="9" fillId="3" borderId="0" xfId="0" applyNumberFormat="1" applyFont="1" applyFill="1" applyAlignment="1">
      <alignment horizontal="left"/>
    </xf>
    <xf numFmtId="166" fontId="9" fillId="0" borderId="0" xfId="0" applyNumberFormat="1" applyFont="1" applyAlignment="1">
      <alignment horizontal="left"/>
    </xf>
    <xf numFmtId="166" fontId="9" fillId="5" borderId="0" xfId="0" applyNumberFormat="1" applyFont="1" applyFill="1"/>
    <xf numFmtId="0" fontId="9" fillId="0" borderId="0" xfId="0" applyFont="1" applyFill="1"/>
    <xf numFmtId="165" fontId="9" fillId="0" borderId="0" xfId="0" applyNumberFormat="1" applyFont="1" applyFill="1" applyAlignment="1">
      <alignment horizontal="left"/>
    </xf>
    <xf numFmtId="166" fontId="9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477715</xdr:colOff>
      <xdr:row>4</xdr:row>
      <xdr:rowOff>200547</xdr:rowOff>
    </xdr:from>
    <xdr:to>
      <xdr:col>10</xdr:col>
      <xdr:colOff>762975</xdr:colOff>
      <xdr:row>12</xdr:row>
      <xdr:rowOff>8893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9D33430-6CF4-1047-9726-A454DFEACA48}"/>
            </a:ext>
          </a:extLst>
        </xdr:cNvPr>
        <xdr:cNvGrpSpPr/>
      </xdr:nvGrpSpPr>
      <xdr:grpSpPr>
        <a:xfrm>
          <a:off x="8732715" y="1047214"/>
          <a:ext cx="285260" cy="1448762"/>
          <a:chOff x="5448858" y="1035118"/>
          <a:chExt cx="285260" cy="1453299"/>
        </a:xfrm>
      </xdr:grpSpPr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75115184-92FE-F84A-AC14-4A1F26E5A515}"/>
              </a:ext>
            </a:extLst>
          </xdr:cNvPr>
          <xdr:cNvCxnSpPr/>
        </xdr:nvCxnSpPr>
        <xdr:spPr>
          <a:xfrm>
            <a:off x="5588558" y="1035118"/>
            <a:ext cx="0" cy="1453299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174DB2D-CC22-3D49-AE16-7A9DB8EF1508}"/>
              </a:ext>
            </a:extLst>
          </xdr:cNvPr>
          <xdr:cNvCxnSpPr/>
        </xdr:nvCxnSpPr>
        <xdr:spPr>
          <a:xfrm>
            <a:off x="5448858" y="1041166"/>
            <a:ext cx="284284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822CE74A-7BE7-E044-B5DC-0042B2E2031B}"/>
              </a:ext>
            </a:extLst>
          </xdr:cNvPr>
          <xdr:cNvCxnSpPr/>
        </xdr:nvCxnSpPr>
        <xdr:spPr>
          <a:xfrm>
            <a:off x="5449834" y="2479524"/>
            <a:ext cx="284284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475901</xdr:colOff>
      <xdr:row>11</xdr:row>
      <xdr:rowOff>189661</xdr:rowOff>
    </xdr:from>
    <xdr:to>
      <xdr:col>10</xdr:col>
      <xdr:colOff>761161</xdr:colOff>
      <xdr:row>18</xdr:row>
      <xdr:rowOff>9072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BEA991CD-2830-7746-AF37-72927ED3CDF1}"/>
            </a:ext>
          </a:extLst>
        </xdr:cNvPr>
        <xdr:cNvGrpSpPr/>
      </xdr:nvGrpSpPr>
      <xdr:grpSpPr>
        <a:xfrm>
          <a:off x="8730901" y="2475661"/>
          <a:ext cx="285260" cy="1428078"/>
          <a:chOff x="5448858" y="1035118"/>
          <a:chExt cx="285260" cy="145329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8D20815A-A648-6443-AFF5-D40D333C6CFB}"/>
              </a:ext>
            </a:extLst>
          </xdr:cNvPr>
          <xdr:cNvCxnSpPr/>
        </xdr:nvCxnSpPr>
        <xdr:spPr>
          <a:xfrm>
            <a:off x="5588558" y="1035118"/>
            <a:ext cx="0" cy="1453299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C7CBCD7-61FE-0743-AD61-03EC2054B39D}"/>
              </a:ext>
            </a:extLst>
          </xdr:cNvPr>
          <xdr:cNvCxnSpPr/>
        </xdr:nvCxnSpPr>
        <xdr:spPr>
          <a:xfrm>
            <a:off x="5448858" y="1041166"/>
            <a:ext cx="284284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547C5E79-5ADB-AF4B-829E-ADBB03A5EFE1}"/>
              </a:ext>
            </a:extLst>
          </xdr:cNvPr>
          <xdr:cNvCxnSpPr/>
        </xdr:nvCxnSpPr>
        <xdr:spPr>
          <a:xfrm>
            <a:off x="5449834" y="2479524"/>
            <a:ext cx="284284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127001</xdr:colOff>
      <xdr:row>0</xdr:row>
      <xdr:rowOff>177801</xdr:rowOff>
    </xdr:from>
    <xdr:to>
      <xdr:col>3</xdr:col>
      <xdr:colOff>469900</xdr:colOff>
      <xdr:row>0</xdr:row>
      <xdr:rowOff>1574800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73B299-F3E3-4642-85CE-6DABA5E04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1" y="177801"/>
          <a:ext cx="1866899" cy="1396999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0</xdr:row>
      <xdr:rowOff>469900</xdr:rowOff>
    </xdr:from>
    <xdr:to>
      <xdr:col>9</xdr:col>
      <xdr:colOff>114300</xdr:colOff>
      <xdr:row>0</xdr:row>
      <xdr:rowOff>1231900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BC126B-536B-5045-BECC-35ED919F3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0" y="469900"/>
          <a:ext cx="43815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FA46-9FEC-6D46-A119-A1A585BAE3CB}">
  <dimension ref="A1:T25"/>
  <sheetViews>
    <sheetView tabSelected="1" zoomScale="120" zoomScaleNormal="120" workbookViewId="0">
      <selection activeCell="J6" sqref="J6"/>
    </sheetView>
  </sheetViews>
  <sheetFormatPr baseColWidth="10" defaultRowHeight="16" x14ac:dyDescent="0.2"/>
  <cols>
    <col min="6" max="8" width="10.83203125" style="17"/>
    <col min="12" max="12" width="2.83203125" customWidth="1"/>
    <col min="13" max="13" width="6.83203125" customWidth="1"/>
    <col min="14" max="14" width="2.83203125" style="25" customWidth="1"/>
    <col min="15" max="15" width="6.83203125" customWidth="1"/>
    <col min="16" max="16" width="2.83203125" customWidth="1"/>
    <col min="17" max="17" width="1.83203125" customWidth="1"/>
    <col min="18" max="18" width="5.83203125" customWidth="1"/>
    <col min="19" max="19" width="4.83203125" style="19" customWidth="1"/>
    <col min="20" max="20" width="5.83203125" style="16" customWidth="1"/>
  </cols>
  <sheetData>
    <row r="1" spans="1:20" ht="19" thickBot="1" x14ac:dyDescent="0.25">
      <c r="A1" s="76" t="s">
        <v>22</v>
      </c>
      <c r="J1" s="18"/>
    </row>
    <row r="2" spans="1:20" x14ac:dyDescent="0.2">
      <c r="A2" s="73" t="s">
        <v>18</v>
      </c>
      <c r="B2" s="73"/>
      <c r="C2" s="74">
        <f>SUM(F4:F6)/SUM(D4:D6)</f>
        <v>2.0000000000000004</v>
      </c>
      <c r="D2" s="75" t="s">
        <v>19</v>
      </c>
      <c r="E2" s="73" t="s">
        <v>20</v>
      </c>
      <c r="F2" s="75"/>
      <c r="G2" s="90">
        <f>SUM(G4:G6)+SUM(I4:I6)</f>
        <v>4.4223598200000014</v>
      </c>
      <c r="H2" s="75" t="s">
        <v>21</v>
      </c>
      <c r="I2" s="75"/>
      <c r="K2" s="30"/>
      <c r="L2" s="31"/>
      <c r="M2" s="31"/>
      <c r="N2" s="32"/>
      <c r="O2" s="31"/>
      <c r="P2" s="31"/>
      <c r="Q2" s="31"/>
      <c r="R2" s="31"/>
      <c r="S2" s="33"/>
      <c r="T2" s="34"/>
    </row>
    <row r="3" spans="1:20" x14ac:dyDescent="0.2">
      <c r="A3" s="83" t="s">
        <v>17</v>
      </c>
      <c r="B3" s="83" t="s">
        <v>15</v>
      </c>
      <c r="C3" s="83" t="s">
        <v>16</v>
      </c>
      <c r="D3" s="83" t="s">
        <v>9</v>
      </c>
      <c r="E3" s="83" t="s">
        <v>10</v>
      </c>
      <c r="F3" s="83" t="s">
        <v>11</v>
      </c>
      <c r="G3" s="83" t="s">
        <v>12</v>
      </c>
      <c r="H3" s="83" t="s">
        <v>13</v>
      </c>
      <c r="I3" s="83" t="s">
        <v>14</v>
      </c>
      <c r="K3" s="35"/>
      <c r="L3" s="1"/>
      <c r="M3" s="2"/>
      <c r="N3" s="26"/>
      <c r="O3" s="2"/>
      <c r="P3" s="3"/>
      <c r="Q3" s="36"/>
      <c r="R3" s="36"/>
      <c r="S3" s="37"/>
      <c r="T3" s="38"/>
    </row>
    <row r="4" spans="1:20" x14ac:dyDescent="0.2">
      <c r="A4" s="84" t="s">
        <v>0</v>
      </c>
      <c r="B4" s="87">
        <f>O4</f>
        <v>2.66</v>
      </c>
      <c r="C4" s="87">
        <f>S6</f>
        <v>0.19</v>
      </c>
      <c r="D4" s="87">
        <f>B4*C4</f>
        <v>0.50540000000000007</v>
      </c>
      <c r="E4" s="87">
        <f>S6/2+S8+S16</f>
        <v>3.9050000000000002</v>
      </c>
      <c r="F4" s="87">
        <f>E4*D4</f>
        <v>1.9735870000000004</v>
      </c>
      <c r="G4" s="89">
        <f>B4*C4^3/12</f>
        <v>1.5204116666666667E-3</v>
      </c>
      <c r="H4" s="89">
        <f>E4-$C$2</f>
        <v>1.9049999999999998</v>
      </c>
      <c r="I4" s="89">
        <f>H4^2*D4</f>
        <v>1.8341092349999999</v>
      </c>
      <c r="K4" s="35"/>
      <c r="L4" s="4"/>
      <c r="M4" s="36"/>
      <c r="N4" s="39"/>
      <c r="O4" s="40">
        <v>2.66</v>
      </c>
      <c r="P4" s="5"/>
      <c r="Q4" s="36"/>
      <c r="R4" s="36"/>
      <c r="S4" s="37"/>
      <c r="T4" s="38"/>
    </row>
    <row r="5" spans="1:20" x14ac:dyDescent="0.2">
      <c r="A5" s="84" t="s">
        <v>1</v>
      </c>
      <c r="B5" s="87">
        <f>M20</f>
        <v>0.19</v>
      </c>
      <c r="C5" s="87">
        <f>S8</f>
        <v>3.62</v>
      </c>
      <c r="D5" s="87">
        <f>B5*C5</f>
        <v>0.68780000000000008</v>
      </c>
      <c r="E5" s="87">
        <f>S8/2+S16</f>
        <v>2</v>
      </c>
      <c r="F5" s="87">
        <f>E5*D5</f>
        <v>1.3756000000000002</v>
      </c>
      <c r="G5" s="89">
        <f>B5*C5^3/12</f>
        <v>0.75110052666666671</v>
      </c>
      <c r="H5" s="89">
        <f t="shared" ref="H5:H6" si="0">E5-$C$2</f>
        <v>0</v>
      </c>
      <c r="I5" s="89">
        <f>H5^2*D5</f>
        <v>0</v>
      </c>
      <c r="K5" s="35"/>
      <c r="L5" s="2"/>
      <c r="M5" s="2"/>
      <c r="N5" s="26"/>
      <c r="O5" s="2"/>
      <c r="P5" s="2"/>
      <c r="Q5" s="36"/>
      <c r="R5" s="36"/>
      <c r="S5" s="20"/>
      <c r="T5" s="38"/>
    </row>
    <row r="6" spans="1:20" x14ac:dyDescent="0.2">
      <c r="A6" s="85" t="s">
        <v>2</v>
      </c>
      <c r="B6" s="87">
        <f>O4</f>
        <v>2.66</v>
      </c>
      <c r="C6" s="87">
        <f>S16</f>
        <v>0.19</v>
      </c>
      <c r="D6" s="87">
        <f>B6*C6</f>
        <v>0.50540000000000007</v>
      </c>
      <c r="E6" s="87">
        <f>S16/2</f>
        <v>9.5000000000000001E-2</v>
      </c>
      <c r="F6" s="87">
        <f>E6*D6</f>
        <v>4.8013000000000007E-2</v>
      </c>
      <c r="G6" s="89">
        <f>B6*C6^3/12</f>
        <v>1.5204116666666667E-3</v>
      </c>
      <c r="H6" s="89">
        <f t="shared" si="0"/>
        <v>-1.9050000000000005</v>
      </c>
      <c r="I6" s="89">
        <f>H6^2*D6</f>
        <v>1.8341092350000012</v>
      </c>
      <c r="K6" s="41"/>
      <c r="L6" s="6"/>
      <c r="M6" s="7"/>
      <c r="N6" s="66" t="s">
        <v>0</v>
      </c>
      <c r="O6" s="7"/>
      <c r="P6" s="8"/>
      <c r="Q6" s="36"/>
      <c r="R6" s="9"/>
      <c r="S6" s="21">
        <v>0.19</v>
      </c>
      <c r="T6" s="38"/>
    </row>
    <row r="7" spans="1:20" x14ac:dyDescent="0.2">
      <c r="A7" s="91"/>
      <c r="B7" s="92"/>
      <c r="C7" s="92"/>
      <c r="D7" s="92"/>
      <c r="E7" s="92"/>
      <c r="G7" s="93"/>
      <c r="H7" s="93"/>
      <c r="I7" s="93"/>
      <c r="K7" s="35"/>
      <c r="L7" s="36"/>
      <c r="M7" s="10"/>
      <c r="N7" s="27"/>
      <c r="O7" s="36"/>
      <c r="P7" s="36"/>
      <c r="Q7" s="36"/>
      <c r="R7" s="5"/>
      <c r="S7" s="37"/>
      <c r="T7" s="38"/>
    </row>
    <row r="8" spans="1:20" x14ac:dyDescent="0.2">
      <c r="A8" s="91"/>
      <c r="B8" s="92"/>
      <c r="C8" s="92"/>
      <c r="D8" s="92"/>
      <c r="E8" s="75" t="s">
        <v>24</v>
      </c>
      <c r="G8" s="93"/>
      <c r="H8" s="93"/>
      <c r="I8" s="92">
        <f>(S8^3*M20/12) + 2*(S6^3*O4/12 + S6*O4*(S8+S6)^2/4)</f>
        <v>4.4223598200000005</v>
      </c>
      <c r="K8" s="64" t="s">
        <v>7</v>
      </c>
      <c r="L8" s="36"/>
      <c r="M8" s="5"/>
      <c r="N8" s="27"/>
      <c r="O8" s="36"/>
      <c r="P8" s="36"/>
      <c r="Q8" s="36"/>
      <c r="R8" s="5"/>
      <c r="S8" s="42">
        <f>4-S6-S16</f>
        <v>3.62</v>
      </c>
      <c r="T8" s="38"/>
    </row>
    <row r="9" spans="1:20" ht="18" x14ac:dyDescent="0.2">
      <c r="A9" s="76" t="s">
        <v>23</v>
      </c>
      <c r="K9" s="65"/>
      <c r="L9" s="36"/>
      <c r="M9" s="5"/>
      <c r="N9" s="27"/>
      <c r="O9" s="36"/>
      <c r="P9" s="36"/>
      <c r="Q9" s="36"/>
      <c r="R9" s="5"/>
      <c r="S9" s="37"/>
      <c r="T9" s="38"/>
    </row>
    <row r="10" spans="1:20" x14ac:dyDescent="0.2">
      <c r="A10" s="73" t="s">
        <v>18</v>
      </c>
      <c r="B10" s="73"/>
      <c r="C10" s="74" t="e">
        <f>SUM(F12:F14)/SUM(D12:D14)</f>
        <v>#DIV/0!</v>
      </c>
      <c r="D10" s="75" t="s">
        <v>19</v>
      </c>
      <c r="E10" s="73" t="s">
        <v>20</v>
      </c>
      <c r="F10" s="75"/>
      <c r="G10" s="90">
        <f>SUM(G12:G14)+SUM(I12:I14)</f>
        <v>0</v>
      </c>
      <c r="H10" s="75" t="s">
        <v>21</v>
      </c>
      <c r="I10" s="75"/>
      <c r="K10" s="65"/>
      <c r="L10" s="36"/>
      <c r="M10" s="5"/>
      <c r="N10" s="67" t="s">
        <v>1</v>
      </c>
      <c r="O10" s="36"/>
      <c r="P10" s="36"/>
      <c r="Q10" s="36"/>
      <c r="R10" s="5"/>
      <c r="S10" s="37"/>
      <c r="T10" s="38"/>
    </row>
    <row r="11" spans="1:20" x14ac:dyDescent="0.2">
      <c r="A11" s="83" t="s">
        <v>17</v>
      </c>
      <c r="B11" s="83" t="s">
        <v>15</v>
      </c>
      <c r="C11" s="83" t="s">
        <v>16</v>
      </c>
      <c r="D11" s="83" t="s">
        <v>9</v>
      </c>
      <c r="E11" s="83" t="s">
        <v>10</v>
      </c>
      <c r="F11" s="83" t="s">
        <v>11</v>
      </c>
      <c r="G11" s="83" t="s">
        <v>12</v>
      </c>
      <c r="H11" s="83" t="s">
        <v>13</v>
      </c>
      <c r="I11" s="83" t="s">
        <v>14</v>
      </c>
      <c r="K11" s="65"/>
      <c r="L11" s="61"/>
      <c r="M11" s="62"/>
      <c r="N11" s="63"/>
      <c r="O11" s="61"/>
      <c r="P11" s="61"/>
      <c r="Q11" s="61"/>
      <c r="R11" s="5"/>
      <c r="S11" s="37"/>
      <c r="T11" s="38"/>
    </row>
    <row r="12" spans="1:20" x14ac:dyDescent="0.2">
      <c r="A12" s="84" t="s">
        <v>0</v>
      </c>
      <c r="B12" s="87">
        <f>O12</f>
        <v>0</v>
      </c>
      <c r="C12" s="87">
        <f>S14</f>
        <v>0</v>
      </c>
      <c r="D12" s="87">
        <f>B12*C12</f>
        <v>0</v>
      </c>
      <c r="E12" s="87">
        <f>S14/2+C12+S16+S24+S25+S26</f>
        <v>0.19</v>
      </c>
      <c r="F12" s="87">
        <f>E12*D12</f>
        <v>0</v>
      </c>
      <c r="G12" s="89">
        <f>B12*C12^3/12</f>
        <v>0</v>
      </c>
      <c r="H12" s="89">
        <f>E12-$C$2</f>
        <v>-1.8100000000000005</v>
      </c>
      <c r="I12" s="89">
        <f>H12^2*D12</f>
        <v>0</v>
      </c>
      <c r="K12" s="65"/>
      <c r="L12" s="11"/>
      <c r="M12" s="12"/>
      <c r="N12" s="28"/>
      <c r="O12" s="11"/>
      <c r="P12" s="11"/>
      <c r="Q12" s="11"/>
      <c r="R12" s="12"/>
      <c r="S12" s="22"/>
      <c r="T12" s="43" t="s">
        <v>6</v>
      </c>
    </row>
    <row r="13" spans="1:20" x14ac:dyDescent="0.2">
      <c r="A13" s="84" t="s">
        <v>1</v>
      </c>
      <c r="B13" s="87">
        <f>M28</f>
        <v>0</v>
      </c>
      <c r="C13" s="87">
        <f>S16</f>
        <v>0.19</v>
      </c>
      <c r="D13" s="87">
        <f>B13*C13</f>
        <v>0</v>
      </c>
      <c r="E13" s="87">
        <f>S16/2+S24+S25+S26</f>
        <v>9.5000000000000001E-2</v>
      </c>
      <c r="F13" s="87">
        <f>E13*D13</f>
        <v>0</v>
      </c>
      <c r="G13" s="89">
        <f>B13*C13^3/12</f>
        <v>0</v>
      </c>
      <c r="H13" s="89">
        <f t="shared" ref="H13:H17" si="1">E13-$C$2</f>
        <v>-1.9050000000000005</v>
      </c>
      <c r="I13" s="89">
        <f>H13^2*D13</f>
        <v>0</v>
      </c>
      <c r="K13" s="65"/>
      <c r="L13" s="36"/>
      <c r="M13" s="5"/>
      <c r="N13" s="27"/>
      <c r="O13" s="36"/>
      <c r="P13" s="36"/>
      <c r="Q13" s="36"/>
      <c r="R13" s="5"/>
      <c r="S13" s="37"/>
      <c r="T13" s="38"/>
    </row>
    <row r="14" spans="1:20" x14ac:dyDescent="0.2">
      <c r="A14" s="85" t="s">
        <v>2</v>
      </c>
      <c r="B14" s="87">
        <f>O12</f>
        <v>0</v>
      </c>
      <c r="C14" s="87">
        <f>S24</f>
        <v>0</v>
      </c>
      <c r="D14" s="87">
        <f>B14*C14</f>
        <v>0</v>
      </c>
      <c r="E14" s="87">
        <f>S24/2+S25+S26</f>
        <v>0</v>
      </c>
      <c r="F14" s="87">
        <f>E14*D14</f>
        <v>0</v>
      </c>
      <c r="G14" s="89">
        <f>B14*C14^3/12</f>
        <v>0</v>
      </c>
      <c r="H14" s="89">
        <f t="shared" si="1"/>
        <v>-2.0000000000000004</v>
      </c>
      <c r="I14" s="89">
        <f>H14^2*D14</f>
        <v>0</v>
      </c>
      <c r="K14" s="65"/>
      <c r="L14" s="36"/>
      <c r="M14" s="5"/>
      <c r="N14" s="27"/>
      <c r="O14" s="36"/>
      <c r="P14" s="36"/>
      <c r="Q14" s="36"/>
      <c r="R14" s="5"/>
      <c r="S14" s="37"/>
      <c r="T14" s="38"/>
    </row>
    <row r="15" spans="1:20" x14ac:dyDescent="0.2">
      <c r="A15" s="86" t="s">
        <v>3</v>
      </c>
      <c r="B15" s="88">
        <f>R28</f>
        <v>0</v>
      </c>
      <c r="C15" s="88">
        <f>S26</f>
        <v>0</v>
      </c>
      <c r="D15" s="88">
        <f t="shared" ref="D15:D17" si="2">B15*C15</f>
        <v>0</v>
      </c>
      <c r="E15" s="88">
        <f>S25/2+S26</f>
        <v>0</v>
      </c>
      <c r="F15" s="88">
        <f t="shared" ref="F15:F17" si="3">E15*D15</f>
        <v>0</v>
      </c>
      <c r="G15" s="89">
        <f t="shared" ref="G15:G17" si="4">B15*C15^3/12</f>
        <v>0</v>
      </c>
      <c r="H15" s="89">
        <f t="shared" si="1"/>
        <v>-2.0000000000000004</v>
      </c>
      <c r="I15" s="89">
        <f t="shared" ref="I15:I17" si="5">H15^2*D15</f>
        <v>0</v>
      </c>
      <c r="K15" s="64" t="s">
        <v>8</v>
      </c>
      <c r="L15" s="2"/>
      <c r="M15" s="3"/>
      <c r="N15" s="29"/>
      <c r="O15" s="1"/>
      <c r="P15" s="2"/>
      <c r="Q15" s="36"/>
      <c r="R15" s="3"/>
      <c r="S15" s="20"/>
      <c r="T15" s="38"/>
    </row>
    <row r="16" spans="1:20" x14ac:dyDescent="0.2">
      <c r="A16" s="86" t="s">
        <v>4</v>
      </c>
      <c r="B16" s="88">
        <f>O12</f>
        <v>0</v>
      </c>
      <c r="C16" s="88">
        <f>S25</f>
        <v>0</v>
      </c>
      <c r="D16" s="88">
        <f t="shared" si="2"/>
        <v>0</v>
      </c>
      <c r="E16" s="88">
        <f>S26/2</f>
        <v>0</v>
      </c>
      <c r="F16" s="88">
        <f t="shared" si="3"/>
        <v>0</v>
      </c>
      <c r="G16" s="89">
        <f t="shared" si="4"/>
        <v>0</v>
      </c>
      <c r="H16" s="89">
        <f t="shared" si="1"/>
        <v>-2.0000000000000004</v>
      </c>
      <c r="I16" s="89">
        <f t="shared" si="5"/>
        <v>0</v>
      </c>
      <c r="K16" s="41"/>
      <c r="L16" s="13"/>
      <c r="M16" s="14"/>
      <c r="N16" s="68" t="s">
        <v>2</v>
      </c>
      <c r="O16" s="14"/>
      <c r="P16" s="8"/>
      <c r="Q16" s="36"/>
      <c r="R16" s="9"/>
      <c r="S16" s="20">
        <v>0.19</v>
      </c>
      <c r="T16" s="38"/>
    </row>
    <row r="17" spans="1:20" x14ac:dyDescent="0.2">
      <c r="A17" s="86" t="s">
        <v>5</v>
      </c>
      <c r="B17" s="88">
        <f>R28</f>
        <v>0</v>
      </c>
      <c r="C17" s="88">
        <f>S26</f>
        <v>0</v>
      </c>
      <c r="D17" s="88">
        <f t="shared" si="2"/>
        <v>0</v>
      </c>
      <c r="E17" s="88">
        <f>S26/2</f>
        <v>0</v>
      </c>
      <c r="F17" s="88">
        <f t="shared" si="3"/>
        <v>0</v>
      </c>
      <c r="G17" s="89">
        <f t="shared" si="4"/>
        <v>0</v>
      </c>
      <c r="H17" s="89">
        <f t="shared" si="1"/>
        <v>-2.0000000000000004</v>
      </c>
      <c r="I17" s="89">
        <f t="shared" si="5"/>
        <v>0</v>
      </c>
      <c r="K17" s="41"/>
      <c r="L17" s="23"/>
      <c r="M17" s="15"/>
      <c r="N17" s="69" t="s">
        <v>3</v>
      </c>
      <c r="O17" s="15"/>
      <c r="P17" s="24"/>
      <c r="Q17" s="36"/>
      <c r="R17" s="50"/>
      <c r="S17" s="51">
        <v>0.25</v>
      </c>
      <c r="T17" s="38"/>
    </row>
    <row r="18" spans="1:20" ht="32" customHeight="1" x14ac:dyDescent="0.2">
      <c r="K18" s="41"/>
      <c r="L18" s="71" t="s">
        <v>4</v>
      </c>
      <c r="M18" s="70"/>
      <c r="N18" s="39"/>
      <c r="O18" s="5"/>
      <c r="P18" s="71" t="s">
        <v>5</v>
      </c>
      <c r="Q18" s="36"/>
      <c r="R18" s="3"/>
      <c r="S18" s="49">
        <v>0.75</v>
      </c>
      <c r="T18" s="38"/>
    </row>
    <row r="19" spans="1:20" x14ac:dyDescent="0.2">
      <c r="K19" s="35"/>
      <c r="L19" s="36"/>
      <c r="M19" s="36"/>
      <c r="N19" s="39"/>
      <c r="O19" s="36"/>
      <c r="P19" s="36"/>
      <c r="Q19" s="36"/>
      <c r="R19" s="36"/>
      <c r="S19" s="37"/>
      <c r="T19" s="38"/>
    </row>
    <row r="20" spans="1:20" x14ac:dyDescent="0.2">
      <c r="K20" s="35"/>
      <c r="L20" s="36"/>
      <c r="M20" s="56">
        <v>0.19</v>
      </c>
      <c r="N20" s="54"/>
      <c r="O20" s="52"/>
      <c r="P20" s="54"/>
      <c r="Q20" s="55"/>
      <c r="R20" s="57">
        <v>0.25</v>
      </c>
      <c r="S20" s="37"/>
      <c r="T20" s="38"/>
    </row>
    <row r="21" spans="1:20" x14ac:dyDescent="0.2">
      <c r="K21" s="35"/>
      <c r="L21" s="36"/>
      <c r="M21" s="36"/>
      <c r="N21" s="53"/>
      <c r="O21" s="52"/>
      <c r="P21" s="53"/>
      <c r="Q21" s="36"/>
      <c r="S21" s="37"/>
      <c r="T21" s="38"/>
    </row>
    <row r="22" spans="1:20" ht="17" thickBot="1" x14ac:dyDescent="0.25">
      <c r="K22" s="44"/>
      <c r="L22" s="45"/>
      <c r="M22" s="45"/>
      <c r="N22" s="46"/>
      <c r="O22" s="45"/>
      <c r="P22" s="45"/>
      <c r="Q22" s="45"/>
      <c r="R22" s="45"/>
      <c r="S22" s="47"/>
      <c r="T22" s="48"/>
    </row>
    <row r="25" spans="1:20" ht="19" x14ac:dyDescent="0.2">
      <c r="K25" s="59"/>
      <c r="L25" s="59"/>
      <c r="N25" s="6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B473-46A1-BE42-B7B2-E8BB30C3FAA3}">
  <dimension ref="A1:J7"/>
  <sheetViews>
    <sheetView workbookViewId="0">
      <selection activeCell="A3" sqref="A3:I6"/>
    </sheetView>
  </sheetViews>
  <sheetFormatPr baseColWidth="10" defaultRowHeight="16" x14ac:dyDescent="0.2"/>
  <cols>
    <col min="1" max="1" width="8.33203125" customWidth="1"/>
    <col min="2" max="3" width="5.83203125" customWidth="1"/>
    <col min="8" max="8" width="13.5" customWidth="1"/>
  </cols>
  <sheetData>
    <row r="1" spans="1:10" ht="128" customHeight="1" x14ac:dyDescent="0.2">
      <c r="A1" s="78"/>
      <c r="B1" s="78"/>
      <c r="C1" s="78"/>
      <c r="D1" s="78"/>
      <c r="E1" s="78"/>
      <c r="F1" s="78"/>
      <c r="G1" s="78"/>
      <c r="H1" s="78"/>
      <c r="I1" s="78"/>
      <c r="J1" s="78"/>
    </row>
    <row r="2" spans="1:10" x14ac:dyDescent="0.2">
      <c r="A2" s="78"/>
      <c r="B2" s="78"/>
      <c r="C2" s="78"/>
      <c r="D2" s="78"/>
      <c r="E2" s="78"/>
      <c r="F2" s="78"/>
      <c r="G2" s="78"/>
      <c r="H2" s="78"/>
      <c r="I2" s="78"/>
      <c r="J2" s="78"/>
    </row>
    <row r="3" spans="1:10" ht="18" x14ac:dyDescent="0.2">
      <c r="A3" s="76" t="s">
        <v>18</v>
      </c>
      <c r="B3" s="76"/>
      <c r="C3" s="77">
        <f>SUM(F5:F6)/SUM(D5:D6)</f>
        <v>3</v>
      </c>
      <c r="D3" s="72" t="s">
        <v>19</v>
      </c>
      <c r="E3" s="76" t="s">
        <v>20</v>
      </c>
      <c r="F3" s="72"/>
      <c r="G3" s="82">
        <f>SUM(G5:G6)+SUM(I5:I6)</f>
        <v>204</v>
      </c>
      <c r="H3" s="72" t="s">
        <v>21</v>
      </c>
      <c r="I3" s="72"/>
    </row>
    <row r="4" spans="1:10" ht="18" x14ac:dyDescent="0.2">
      <c r="A4" s="79" t="s">
        <v>17</v>
      </c>
      <c r="B4" s="79" t="s">
        <v>15</v>
      </c>
      <c r="C4" s="79" t="s">
        <v>16</v>
      </c>
      <c r="D4" s="79" t="s">
        <v>9</v>
      </c>
      <c r="E4" s="79" t="s">
        <v>10</v>
      </c>
      <c r="F4" s="79" t="s">
        <v>11</v>
      </c>
      <c r="G4" s="79" t="s">
        <v>12</v>
      </c>
      <c r="H4" s="79" t="s">
        <v>13</v>
      </c>
      <c r="I4" s="79" t="s">
        <v>14</v>
      </c>
    </row>
    <row r="5" spans="1:10" ht="18" x14ac:dyDescent="0.2">
      <c r="A5" s="80">
        <v>1</v>
      </c>
      <c r="B5" s="80">
        <v>9</v>
      </c>
      <c r="C5" s="80">
        <v>2</v>
      </c>
      <c r="D5" s="80">
        <f>B5*C5</f>
        <v>18</v>
      </c>
      <c r="E5" s="80">
        <f>C5/2</f>
        <v>1</v>
      </c>
      <c r="F5" s="80">
        <f>E5*D5</f>
        <v>18</v>
      </c>
      <c r="G5" s="81">
        <f>B5*C5^3/12</f>
        <v>6</v>
      </c>
      <c r="H5" s="81">
        <f>E5-$C$3</f>
        <v>-2</v>
      </c>
      <c r="I5" s="81">
        <f>H5^2*D5</f>
        <v>72</v>
      </c>
    </row>
    <row r="6" spans="1:10" ht="18" x14ac:dyDescent="0.2">
      <c r="A6" s="80">
        <v>2</v>
      </c>
      <c r="B6" s="80">
        <v>3</v>
      </c>
      <c r="C6" s="80">
        <v>6</v>
      </c>
      <c r="D6" s="80">
        <f>B6*C6</f>
        <v>18</v>
      </c>
      <c r="E6" s="80">
        <f>C6/2+C5</f>
        <v>5</v>
      </c>
      <c r="F6" s="80">
        <f>E6*D6</f>
        <v>90</v>
      </c>
      <c r="G6" s="81">
        <f>B6*C6^3/12</f>
        <v>54</v>
      </c>
      <c r="H6" s="81">
        <f>E6-$C$3</f>
        <v>2</v>
      </c>
      <c r="I6" s="81">
        <f>H6^2*D6</f>
        <v>72</v>
      </c>
    </row>
    <row r="7" spans="1:10" x14ac:dyDescent="0.2">
      <c r="D7" s="58"/>
      <c r="F7" s="5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Borra</dc:creator>
  <cp:lastModifiedBy>Brian Borra</cp:lastModifiedBy>
  <dcterms:created xsi:type="dcterms:W3CDTF">2021-09-26T01:31:31Z</dcterms:created>
  <dcterms:modified xsi:type="dcterms:W3CDTF">2021-10-03T20:21:38Z</dcterms:modified>
</cp:coreProperties>
</file>